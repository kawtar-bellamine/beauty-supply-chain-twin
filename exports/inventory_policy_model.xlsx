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Inputs" sheetId="2" state="visible" r:id="rId4"/>
    <sheet name="Inventory policy" sheetId="3" state="visible" r:id="rId5"/>
    <sheet name="Service trade-off" sheetId="4" state="visible" r:id="rId6"/>
    <sheet name="Twin resul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4" authorId="0">
      <text>
        <r>
          <rPr>
            <sz val="10"/>
            <rFont val="Arial"/>
            <family val="2"/>
          </rPr>
          <t xml:space="preserve">Source: simulation of the real order stream, 2018-01 to 2018-08.</t>
        </r>
      </text>
    </comment>
  </commentList>
</comments>
</file>

<file path=xl/sharedStrings.xml><?xml version="1.0" encoding="utf-8"?>
<sst xmlns="http://schemas.openxmlformats.org/spreadsheetml/2006/main" count="79" uniqueCount="68">
  <si>
    <t xml:space="preserve">Beauty supply chain: inventory policy model</t>
  </si>
  <si>
    <t xml:space="preserve">How to use: change the blue cells on the Inputs sheet (yellow = key levers); every other number is a formula.</t>
  </si>
  <si>
    <t xml:space="preserve">Colours: blue = input, black = formula, green = link to another sheet.</t>
  </si>
  <si>
    <t xml:space="preserve">Demand per DC: mean and standard deviation of daily units, January to August 2018, from the simulation of the real Olist beauty order stream scaled to a brand-sized flow (see the project README).</t>
  </si>
  <si>
    <t xml:space="preserve">Line-haul lead time = 1 day of loading + distance / truck km per day, rounded up.</t>
  </si>
  <si>
    <t xml:space="preserve">Safety stock = z x sigma x SQRT(lead time + review period); z = NORMSINV(cycle service level).</t>
  </si>
  <si>
    <t xml:space="preserve">Average stock = safety stock + half a review period of demand (cycle stock) + pipeline is excluded.</t>
  </si>
  <si>
    <t xml:space="preserve">Twin results sheet: values copied from the Python simulation (experiments/run_all.py), not formulas.</t>
  </si>
  <si>
    <t xml:space="preserve">Inputs</t>
  </si>
  <si>
    <t xml:space="preserve">Parameter</t>
  </si>
  <si>
    <t xml:space="preserve">Value</t>
  </si>
  <si>
    <t xml:space="preserve">Note</t>
  </si>
  <si>
    <t xml:space="preserve">Cycle service level</t>
  </si>
  <si>
    <t xml:space="preserve">Target probability of no stockout per cycle</t>
  </si>
  <si>
    <t xml:space="preserve">Review period (days)</t>
  </si>
  <si>
    <t xml:space="preserve">DCs review stock every day</t>
  </si>
  <si>
    <t xml:space="preserve">Demand growth vs 2018 level</t>
  </si>
  <si>
    <t xml:space="preserve">Scenario lever: +30% tests a surge</t>
  </si>
  <si>
    <t xml:space="preserve">Unit value (BRL)</t>
  </si>
  <si>
    <t xml:space="preserve">Median beauty item price in the data</t>
  </si>
  <si>
    <t xml:space="preserve">Holding rate per year</t>
  </si>
  <si>
    <t xml:space="preserve">Assumption: cost of capital, storage, obsolescence</t>
  </si>
  <si>
    <t xml:space="preserve">Truck km per day</t>
  </si>
  <si>
    <t xml:space="preserve">Assumption: full-truck line haul</t>
  </si>
  <si>
    <t xml:space="preserve">Regional DC fixed cost per day (BRL)</t>
  </si>
  <si>
    <t xml:space="preserve">Assumption: rent and staff</t>
  </si>
  <si>
    <t xml:space="preserve">Distribution centre</t>
  </si>
  <si>
    <t xml:space="preserve">Mean daily demand (units)</t>
  </si>
  <si>
    <t xml:space="preserve">Std daily demand (units)</t>
  </si>
  <si>
    <t xml:space="preserve">Line-haul distance from plant (km)</t>
  </si>
  <si>
    <t xml:space="preserve">São Paulo DC</t>
  </si>
  <si>
    <t xml:space="preserve">Recife DC</t>
  </si>
  <si>
    <t xml:space="preserve">Order-up-to policy per DC</t>
  </si>
  <si>
    <t xml:space="preserve">Mean demand incl. growth</t>
  </si>
  <si>
    <t xml:space="preserve">Lead time (days)</t>
  </si>
  <si>
    <t xml:space="preserve">Protection period (days)</t>
  </si>
  <si>
    <t xml:space="preserve">z</t>
  </si>
  <si>
    <t xml:space="preserve">Safety stock (units)</t>
  </si>
  <si>
    <t xml:space="preserve">Order-up-to level S (units)</t>
  </si>
  <si>
    <t xml:space="preserve">Average stock (units)</t>
  </si>
  <si>
    <t xml:space="preserve">Days of cover</t>
  </si>
  <si>
    <t xml:space="preserve">Holding cost per year (BRL)</t>
  </si>
  <si>
    <t xml:space="preserve">Total</t>
  </si>
  <si>
    <t xml:space="preserve">Safety stock and holding cost versus cycle service level (all DCs)</t>
  </si>
  <si>
    <t xml:space="preserve">Total safety stock (units)</t>
  </si>
  <si>
    <t xml:space="preserve">Holding cost of safety stock (BRL/yr)</t>
  </si>
  <si>
    <t xml:space="preserve">Scenario results from the Python digital twin (values, not formulas)</t>
  </si>
  <si>
    <t xml:space="preserve">scenario</t>
  </si>
  <si>
    <t xml:space="preserve">dcs</t>
  </si>
  <si>
    <t xml:space="preserve">fill_rate_pct</t>
  </si>
  <si>
    <t xml:space="preserve">otif_pct</t>
  </si>
  <si>
    <t xml:space="preserve">lead_p50_days</t>
  </si>
  <si>
    <t xml:space="preserve">lead_p90_days</t>
  </si>
  <si>
    <t xml:space="preserve">units</t>
  </si>
  <si>
    <t xml:space="preserve">days_of_cover</t>
  </si>
  <si>
    <t xml:space="preserve">cost_per_unit_brl</t>
  </si>
  <si>
    <t xml:space="preserve">holding_per_unit</t>
  </si>
  <si>
    <t xml:space="preserve">last_mile_per_unit</t>
  </si>
  <si>
    <t xml:space="preserve">dc_fixed_per_unit</t>
  </si>
  <si>
    <t xml:space="preserve">Baseline: one DC in São Paulo, z 1.65</t>
  </si>
  <si>
    <t xml:space="preserve">Regional DC in Recife</t>
  </si>
  <si>
    <t xml:space="preserve">São Paulo DC + Recife DC</t>
  </si>
  <si>
    <t xml:space="preserve">Lower safety stock, z 0.84</t>
  </si>
  <si>
    <t xml:space="preserve">Higher safety stock, z 2.33</t>
  </si>
  <si>
    <t xml:space="preserve">Plant capacity 1.5 x demand</t>
  </si>
  <si>
    <t xml:space="preserve">Pre-build 10 days before Black Friday</t>
  </si>
  <si>
    <t xml:space="preserve">Unplanned +40 % demand, May 2018</t>
  </si>
  <si>
    <t xml:space="preserve">Plant at 50 % for 4 weeks, March 2018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</si>
</sst>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0"/>
    <numFmt numFmtId="167" formatCode="#,##0.00"/>
    <numFmt numFmtId="168" formatCode="#,##0"/>
    <numFmt numFmtId="169" formatCode="#,##0.0"/>
    <numFmt numFmtId="170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F3E7D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3E7D3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Holding cost of safety stock vs service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'Service trade-off'!D3</c:f>
              <c:strCache>
                <c:ptCount val="1"/>
                <c:pt idx="0">
                  <c:v>Holding cost of safety stock (BRL/yr)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'Service trade-off'!$A$4:$A$11</c:f>
              <c:strCache>
                <c:ptCount val="8"/>
                <c:pt idx="0">
                  <c:v>80.0%</c:v>
                </c:pt>
                <c:pt idx="1">
                  <c:v>85.0%</c:v>
                </c:pt>
                <c:pt idx="2">
                  <c:v>90.0%</c:v>
                </c:pt>
                <c:pt idx="3">
                  <c:v>95.0%</c:v>
                </c:pt>
                <c:pt idx="4">
                  <c:v>97.5%</c:v>
                </c:pt>
                <c:pt idx="5">
                  <c:v>99.0%</c:v>
                </c:pt>
                <c:pt idx="6">
                  <c:v>99.5%</c:v>
                </c:pt>
                <c:pt idx="7">
                  <c:v>99.9%</c:v>
                </c:pt>
              </c:strCache>
            </c:strRef>
          </c:cat>
          <c:val>
            <c:numRef>
              <c:f>'Service trade-off'!$D$4:$D$11</c:f>
              <c:numCache>
                <c:formatCode>#,##0</c:formatCode>
                <c:ptCount val="8"/>
                <c:pt idx="0">
                  <c:v>7567.36440129069</c:v>
                </c:pt>
                <c:pt idx="1">
                  <c:v>9319.00102219184</c:v>
                </c:pt>
                <c:pt idx="2">
                  <c:v>11522.9598644393</c:v>
                </c:pt>
                <c:pt idx="3">
                  <c:v>14789.5588720886</c:v>
                </c:pt>
                <c:pt idx="4">
                  <c:v>17622.8463503176</c:v>
                </c:pt>
                <c:pt idx="5">
                  <c:v>20917.1553482553</c:v>
                </c:pt>
                <c:pt idx="6">
                  <c:v>23160.3460059193</c:v>
                </c:pt>
                <c:pt idx="7">
                  <c:v>27785.5560346753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7044343"/>
        <c:axId val="29227594"/>
      </c:lineChart>
      <c:catAx>
        <c:axId val="870443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Cycle service level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227594"/>
        <c:crosses val="autoZero"/>
        <c:auto val="1"/>
        <c:lblAlgn val="ctr"/>
        <c:lblOffset val="100"/>
        <c:noMultiLvlLbl val="0"/>
      </c:catAx>
      <c:valAx>
        <c:axId val="292275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BRL per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0443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14</xdr:col>
      <xdr:colOff>255960</xdr:colOff>
      <xdr:row>16</xdr:row>
      <xdr:rowOff>70200</xdr:rowOff>
    </xdr:to>
    <xdr:graphicFrame>
      <xdr:nvGraphicFramePr>
        <xdr:cNvPr id="0" name="Chart 1"/>
        <xdr:cNvGraphicFramePr/>
      </xdr:nvGraphicFramePr>
      <xdr:xfrm>
        <a:off x="653220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22"/>
    <col collapsed="false" customWidth="true" hidden="false" outlineLevel="0" max="4" min="4" style="0" width="26"/>
  </cols>
  <sheetData>
    <row r="1" customFormat="false" ht="17.35" hidden="false" customHeight="false" outlineLevel="0" collapsed="false">
      <c r="A1" s="1" t="s">
        <v>8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4" t="s">
        <v>9</v>
      </c>
      <c r="B3" s="4" t="s">
        <v>10</v>
      </c>
      <c r="C3" s="4" t="s">
        <v>11</v>
      </c>
      <c r="D3" s="2"/>
      <c r="E3" s="2"/>
      <c r="F3" s="2"/>
    </row>
    <row r="4" customFormat="false" ht="15" hidden="false" customHeight="false" outlineLevel="0" collapsed="false">
      <c r="A4" s="3" t="s">
        <v>12</v>
      </c>
      <c r="B4" s="5" t="n">
        <v>0.95</v>
      </c>
      <c r="C4" s="3" t="s">
        <v>13</v>
      </c>
      <c r="D4" s="2"/>
      <c r="E4" s="2"/>
      <c r="F4" s="2"/>
    </row>
    <row r="5" customFormat="false" ht="15" hidden="false" customHeight="false" outlineLevel="0" collapsed="false">
      <c r="A5" s="3" t="s">
        <v>14</v>
      </c>
      <c r="B5" s="6" t="n">
        <v>1</v>
      </c>
      <c r="C5" s="3" t="s">
        <v>15</v>
      </c>
      <c r="D5" s="2"/>
      <c r="E5" s="2"/>
      <c r="F5" s="2"/>
    </row>
    <row r="6" customFormat="false" ht="15" hidden="false" customHeight="false" outlineLevel="0" collapsed="false">
      <c r="A6" s="3" t="s">
        <v>16</v>
      </c>
      <c r="B6" s="5" t="n">
        <v>0</v>
      </c>
      <c r="C6" s="3" t="s">
        <v>17</v>
      </c>
      <c r="D6" s="2"/>
      <c r="E6" s="2"/>
      <c r="F6" s="2"/>
    </row>
    <row r="7" customFormat="false" ht="15" hidden="false" customHeight="false" outlineLevel="0" collapsed="false">
      <c r="A7" s="3" t="s">
        <v>18</v>
      </c>
      <c r="B7" s="7" t="n">
        <v>80</v>
      </c>
      <c r="C7" s="3" t="s">
        <v>19</v>
      </c>
      <c r="D7" s="2"/>
      <c r="E7" s="2"/>
      <c r="F7" s="2"/>
    </row>
    <row r="8" customFormat="false" ht="15" hidden="false" customHeight="false" outlineLevel="0" collapsed="false">
      <c r="A8" s="3" t="s">
        <v>20</v>
      </c>
      <c r="B8" s="8" t="n">
        <v>0.25</v>
      </c>
      <c r="C8" s="3" t="s">
        <v>21</v>
      </c>
      <c r="D8" s="2"/>
      <c r="E8" s="2"/>
      <c r="F8" s="2"/>
    </row>
    <row r="9" customFormat="false" ht="15" hidden="false" customHeight="false" outlineLevel="0" collapsed="false">
      <c r="A9" s="3" t="s">
        <v>22</v>
      </c>
      <c r="B9" s="9" t="n">
        <v>650</v>
      </c>
      <c r="C9" s="3" t="s">
        <v>23</v>
      </c>
      <c r="D9" s="2"/>
      <c r="E9" s="2"/>
      <c r="F9" s="2"/>
    </row>
    <row r="10" customFormat="false" ht="15" hidden="false" customHeight="false" outlineLevel="0" collapsed="false">
      <c r="A10" s="3" t="s">
        <v>24</v>
      </c>
      <c r="B10" s="9" t="n">
        <v>1500</v>
      </c>
      <c r="C10" s="3" t="s">
        <v>25</v>
      </c>
      <c r="D10" s="2"/>
      <c r="E10" s="2"/>
      <c r="F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</row>
    <row r="13" customFormat="false" ht="23.85" hidden="false" customHeight="false" outlineLevel="0" collapsed="false">
      <c r="A13" s="4" t="s">
        <v>26</v>
      </c>
      <c r="B13" s="4" t="s">
        <v>27</v>
      </c>
      <c r="C13" s="4" t="s">
        <v>28</v>
      </c>
      <c r="D13" s="4" t="s">
        <v>29</v>
      </c>
      <c r="E13" s="2"/>
      <c r="F13" s="2"/>
    </row>
    <row r="14" customFormat="false" ht="15" hidden="false" customHeight="false" outlineLevel="0" collapsed="false">
      <c r="A14" s="3" t="s">
        <v>30</v>
      </c>
      <c r="B14" s="10" t="n">
        <v>1106.9</v>
      </c>
      <c r="C14" s="10" t="n">
        <v>247.4</v>
      </c>
      <c r="D14" s="10" t="n">
        <v>0</v>
      </c>
      <c r="E14" s="2"/>
      <c r="F14" s="2"/>
    </row>
    <row r="15" customFormat="false" ht="15" hidden="false" customHeight="false" outlineLevel="0" collapsed="false">
      <c r="A15" s="3" t="s">
        <v>31</v>
      </c>
      <c r="B15" s="10" t="n">
        <v>141.7</v>
      </c>
      <c r="C15" s="10" t="n">
        <v>40.7</v>
      </c>
      <c r="D15" s="10" t="n">
        <v>2130.4</v>
      </c>
      <c r="E15" s="2"/>
      <c r="F15" s="2"/>
    </row>
  </sheetData>
  <dataValidations count="1">
    <dataValidation allowBlank="false" errorStyle="stop" operator="between" showDropDown="false" showErrorMessage="false" showInputMessage="false" sqref="B4" type="decimal">
      <formula1>0.5</formula1>
      <formula2>0.999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8"/>
  </cols>
  <sheetData>
    <row r="1" customFormat="false" ht="17.35" hidden="false" customHeight="false" outlineLevel="0" collapsed="false">
      <c r="A1" s="1" t="s">
        <v>32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</row>
    <row r="3" customFormat="false" ht="23.85" hidden="false" customHeight="false" outlineLevel="0" collapsed="false">
      <c r="A3" s="4" t="s">
        <v>26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</row>
    <row r="4" customFormat="false" ht="15" hidden="false" customHeight="false" outlineLevel="0" collapsed="false">
      <c r="A4" s="11" t="str">
        <f aca="false">Inputs!A14</f>
        <v>São Paulo DC</v>
      </c>
      <c r="B4" s="12" t="n">
        <f aca="false">Inputs!B14*(1+Inputs!$B$6)</f>
        <v>1106.9</v>
      </c>
      <c r="C4" s="12" t="n">
        <f aca="false">1+ROUNDUP(Inputs!D14/Inputs!$B$9,0)</f>
        <v>1</v>
      </c>
      <c r="D4" s="13" t="n">
        <f aca="false">C4+Inputs!$B$5</f>
        <v>2</v>
      </c>
      <c r="E4" s="14" t="n">
        <f aca="false">NORMSINV(Inputs!$B$4)</f>
        <v>1.64485362695147</v>
      </c>
      <c r="F4" s="13" t="n">
        <f aca="false">E4*Inputs!C14*(1+Inputs!$B$6)*SQRT(D4)</f>
        <v>575.495523639218</v>
      </c>
      <c r="G4" s="13" t="n">
        <f aca="false">B4*D4+F4</f>
        <v>2789.29552363922</v>
      </c>
      <c r="H4" s="13" t="n">
        <f aca="false">F4+B4*Inputs!$B$5/2</f>
        <v>1128.94552363922</v>
      </c>
      <c r="I4" s="14" t="n">
        <f aca="false">IF(B4&gt;0,H4/B4,0)</f>
        <v>1.01991645463838</v>
      </c>
      <c r="J4" s="13" t="n">
        <f aca="false">H4*Inputs!$B$7*Inputs!$B$8</f>
        <v>22578.9104727844</v>
      </c>
    </row>
    <row r="5" customFormat="false" ht="15" hidden="false" customHeight="false" outlineLevel="0" collapsed="false">
      <c r="A5" s="11" t="str">
        <f aca="false">Inputs!A15</f>
        <v>Recife DC</v>
      </c>
      <c r="B5" s="12" t="n">
        <f aca="false">Inputs!B15*(1+Inputs!$B$6)</f>
        <v>141.7</v>
      </c>
      <c r="C5" s="12" t="n">
        <f aca="false">1+ROUNDUP(Inputs!D15/Inputs!$B$9,0)</f>
        <v>5</v>
      </c>
      <c r="D5" s="13" t="n">
        <f aca="false">C5+Inputs!$B$5</f>
        <v>6</v>
      </c>
      <c r="E5" s="14" t="n">
        <f aca="false">NORMSINV(Inputs!$B$4)</f>
        <v>1.64485362695147</v>
      </c>
      <c r="F5" s="13" t="n">
        <f aca="false">E5*Inputs!C15*(1+Inputs!$B$6)*SQRT(D5)</f>
        <v>163.982419965212</v>
      </c>
      <c r="G5" s="13" t="n">
        <f aca="false">B5*D5+F5</f>
        <v>1014.18241996521</v>
      </c>
      <c r="H5" s="13" t="n">
        <f aca="false">F5+B5*Inputs!$B$5/2</f>
        <v>234.832419965212</v>
      </c>
      <c r="I5" s="14" t="n">
        <f aca="false">IF(B5&gt;0,H5/B5,0)</f>
        <v>1.65725067018498</v>
      </c>
      <c r="J5" s="13" t="n">
        <f aca="false">H5*Inputs!$B$7*Inputs!$B$8</f>
        <v>4696.64839930423</v>
      </c>
    </row>
    <row r="6" customFormat="false" ht="15" hidden="false" customHeight="false" outlineLevel="0" collapsed="false">
      <c r="A6" s="15" t="s">
        <v>42</v>
      </c>
      <c r="B6" s="2"/>
      <c r="C6" s="2"/>
      <c r="D6" s="2"/>
      <c r="E6" s="2"/>
      <c r="F6" s="16" t="n">
        <f aca="false">SUM(F4:F5)</f>
        <v>739.47794360443</v>
      </c>
      <c r="G6" s="2"/>
      <c r="H6" s="16" t="n">
        <f aca="false">SUM(H4:H5)</f>
        <v>1363.77794360443</v>
      </c>
      <c r="I6" s="2"/>
      <c r="J6" s="16" t="n">
        <f aca="false">SUM(J4:J5)</f>
        <v>27275.5588720886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43</v>
      </c>
      <c r="B1" s="2"/>
      <c r="C1" s="2"/>
      <c r="D1" s="2"/>
    </row>
    <row r="2" customFormat="false" ht="15" hidden="false" customHeight="false" outlineLevel="0" collapsed="false">
      <c r="A2" s="2"/>
      <c r="B2" s="2"/>
      <c r="C2" s="2"/>
      <c r="D2" s="2"/>
    </row>
    <row r="3" customFormat="false" ht="23.85" hidden="false" customHeight="false" outlineLevel="0" collapsed="false">
      <c r="A3" s="4" t="s">
        <v>12</v>
      </c>
      <c r="B3" s="4" t="s">
        <v>36</v>
      </c>
      <c r="C3" s="4" t="s">
        <v>44</v>
      </c>
      <c r="D3" s="4" t="s">
        <v>45</v>
      </c>
    </row>
    <row r="4" customFormat="false" ht="15" hidden="false" customHeight="false" outlineLevel="0" collapsed="false">
      <c r="A4" s="8" t="n">
        <v>0.8</v>
      </c>
      <c r="B4" s="17" t="n">
        <f aca="false">NORMSINV(A4)</f>
        <v>0.841621233572914</v>
      </c>
      <c r="C4" s="18" t="n">
        <f aca="false">B4*(Inputs!C14*SQRT('Inventory policy'!D4)+Inputs!C15*SQRT('Inventory policy'!D5))*(1+Inputs!$B$6)</f>
        <v>378.368220064534</v>
      </c>
      <c r="D4" s="18" t="n">
        <f aca="false">C4*Inputs!$B$7*Inputs!$B$8</f>
        <v>7567.36440129069</v>
      </c>
    </row>
    <row r="5" customFormat="false" ht="15" hidden="false" customHeight="false" outlineLevel="0" collapsed="false">
      <c r="A5" s="8" t="n">
        <v>0.85</v>
      </c>
      <c r="B5" s="17" t="n">
        <f aca="false">NORMSINV(A5)</f>
        <v>1.03643338949379</v>
      </c>
      <c r="C5" s="18" t="n">
        <f aca="false">B5*(Inputs!C14*SQRT('Inventory policy'!D4)+Inputs!C15*SQRT('Inventory policy'!D5))*(1+Inputs!$B$6)</f>
        <v>465.950051109592</v>
      </c>
      <c r="D5" s="18" t="n">
        <f aca="false">C5*Inputs!$B$7*Inputs!$B$8</f>
        <v>9319.00102219184</v>
      </c>
    </row>
    <row r="6" customFormat="false" ht="15" hidden="false" customHeight="false" outlineLevel="0" collapsed="false">
      <c r="A6" s="8" t="n">
        <v>0.9</v>
      </c>
      <c r="B6" s="17" t="n">
        <f aca="false">NORMSINV(A6)</f>
        <v>1.2815515655446</v>
      </c>
      <c r="C6" s="18" t="n">
        <f aca="false">B6*(Inputs!C14*SQRT('Inventory policy'!D4)+Inputs!C15*SQRT('Inventory policy'!D5))*(1+Inputs!$B$6)</f>
        <v>576.147993221964</v>
      </c>
      <c r="D6" s="18" t="n">
        <f aca="false">C6*Inputs!$B$7*Inputs!$B$8</f>
        <v>11522.9598644393</v>
      </c>
    </row>
    <row r="7" customFormat="false" ht="15" hidden="false" customHeight="false" outlineLevel="0" collapsed="false">
      <c r="A7" s="8" t="n">
        <v>0.95</v>
      </c>
      <c r="B7" s="17" t="n">
        <f aca="false">NORMSINV(A7)</f>
        <v>1.64485362695147</v>
      </c>
      <c r="C7" s="18" t="n">
        <f aca="false">B7*(Inputs!C14*SQRT('Inventory policy'!D4)+Inputs!C15*SQRT('Inventory policy'!D5))*(1+Inputs!$B$6)</f>
        <v>739.47794360443</v>
      </c>
      <c r="D7" s="18" t="n">
        <f aca="false">C7*Inputs!$B$7*Inputs!$B$8</f>
        <v>14789.5588720886</v>
      </c>
    </row>
    <row r="8" customFormat="false" ht="15" hidden="false" customHeight="false" outlineLevel="0" collapsed="false">
      <c r="A8" s="8" t="n">
        <v>0.975</v>
      </c>
      <c r="B8" s="17" t="n">
        <f aca="false">NORMSINV(A8)</f>
        <v>1.95996398454005</v>
      </c>
      <c r="C8" s="18" t="n">
        <f aca="false">B8*(Inputs!C14*SQRT('Inventory policy'!D4)+Inputs!C15*SQRT('Inventory policy'!D5))*(1+Inputs!$B$6)</f>
        <v>881.142317515882</v>
      </c>
      <c r="D8" s="18" t="n">
        <f aca="false">C8*Inputs!$B$7*Inputs!$B$8</f>
        <v>17622.8463503176</v>
      </c>
    </row>
    <row r="9" customFormat="false" ht="15" hidden="false" customHeight="false" outlineLevel="0" collapsed="false">
      <c r="A9" s="8" t="n">
        <v>0.99</v>
      </c>
      <c r="B9" s="17" t="n">
        <f aca="false">NORMSINV(A9)</f>
        <v>2.32634787404084</v>
      </c>
      <c r="C9" s="18" t="n">
        <f aca="false">B9*(Inputs!C14*SQRT('Inventory policy'!D4)+Inputs!C15*SQRT('Inventory policy'!D5))*(1+Inputs!$B$6)</f>
        <v>1045.85776741277</v>
      </c>
      <c r="D9" s="18" t="n">
        <f aca="false">C9*Inputs!$B$7*Inputs!$B$8</f>
        <v>20917.1553482553</v>
      </c>
    </row>
    <row r="10" customFormat="false" ht="15" hidden="false" customHeight="false" outlineLevel="0" collapsed="false">
      <c r="A10" s="8" t="n">
        <v>0.995</v>
      </c>
      <c r="B10" s="17" t="n">
        <f aca="false">NORMSINV(A10)</f>
        <v>2.5758293035489</v>
      </c>
      <c r="C10" s="18" t="n">
        <f aca="false">B10*(Inputs!C14*SQRT('Inventory policy'!D4)+Inputs!C15*SQRT('Inventory policy'!D5))*(1+Inputs!$B$6)</f>
        <v>1158.01730029597</v>
      </c>
      <c r="D10" s="18" t="n">
        <f aca="false">C10*Inputs!$B$7*Inputs!$B$8</f>
        <v>23160.3460059193</v>
      </c>
    </row>
    <row r="11" customFormat="false" ht="15" hidden="false" customHeight="false" outlineLevel="0" collapsed="false">
      <c r="A11" s="8" t="n">
        <v>0.999</v>
      </c>
      <c r="B11" s="17" t="n">
        <f aca="false">NORMSINV(A11)</f>
        <v>3.09023230616781</v>
      </c>
      <c r="C11" s="18" t="n">
        <f aca="false">B11*(Inputs!C14*SQRT('Inventory policy'!D4)+Inputs!C15*SQRT('Inventory policy'!D5))*(1+Inputs!$B$6)</f>
        <v>1389.27780173376</v>
      </c>
      <c r="D11" s="18" t="n">
        <f aca="false">C11*Inputs!$B$7*Inputs!$B$8</f>
        <v>27785.5560346753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3" min="2" style="0" width="18"/>
  </cols>
  <sheetData>
    <row r="1" customFormat="false" ht="17.35" hidden="false" customHeight="false" outlineLevel="0" collapsed="false">
      <c r="A1" s="1" t="s">
        <v>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4" t="s">
        <v>47</v>
      </c>
      <c r="B3" s="4" t="s">
        <v>48</v>
      </c>
      <c r="C3" s="4" t="s">
        <v>36</v>
      </c>
      <c r="D3" s="4" t="s">
        <v>49</v>
      </c>
      <c r="E3" s="4" t="s">
        <v>50</v>
      </c>
      <c r="F3" s="4" t="s">
        <v>51</v>
      </c>
      <c r="G3" s="4" t="s">
        <v>52</v>
      </c>
      <c r="H3" s="4" t="s">
        <v>53</v>
      </c>
      <c r="I3" s="4" t="s">
        <v>54</v>
      </c>
      <c r="J3" s="4" t="s">
        <v>55</v>
      </c>
      <c r="K3" s="4" t="s">
        <v>56</v>
      </c>
      <c r="L3" s="4" t="s">
        <v>57</v>
      </c>
      <c r="M3" s="4" t="s">
        <v>58</v>
      </c>
    </row>
    <row r="4" customFormat="false" ht="15" hidden="false" customHeight="false" outlineLevel="0" collapsed="false">
      <c r="A4" s="19" t="s">
        <v>59</v>
      </c>
      <c r="B4" s="19" t="s">
        <v>30</v>
      </c>
      <c r="C4" s="19" t="n">
        <v>1.65</v>
      </c>
      <c r="D4" s="19" t="n">
        <v>93.88</v>
      </c>
      <c r="E4" s="19" t="n">
        <v>87.48</v>
      </c>
      <c r="F4" s="19" t="n">
        <v>7.41</v>
      </c>
      <c r="G4" s="19" t="n">
        <v>19.22</v>
      </c>
      <c r="H4" s="19" t="n">
        <v>483436</v>
      </c>
      <c r="I4" s="19" t="n">
        <v>4.69</v>
      </c>
      <c r="J4" s="19" t="n">
        <v>15.18</v>
      </c>
      <c r="K4" s="19" t="n">
        <v>0.26</v>
      </c>
      <c r="L4" s="19" t="n">
        <v>14.72</v>
      </c>
      <c r="M4" s="19" t="n">
        <v>0</v>
      </c>
    </row>
    <row r="5" customFormat="false" ht="15" hidden="false" customHeight="false" outlineLevel="0" collapsed="false">
      <c r="A5" s="19" t="s">
        <v>60</v>
      </c>
      <c r="B5" s="19" t="s">
        <v>61</v>
      </c>
      <c r="C5" s="19" t="n">
        <v>1.65</v>
      </c>
      <c r="D5" s="19" t="n">
        <v>92.13</v>
      </c>
      <c r="E5" s="19" t="n">
        <v>88.01</v>
      </c>
      <c r="F5" s="19" t="n">
        <v>7.08</v>
      </c>
      <c r="G5" s="19" t="n">
        <v>16.99</v>
      </c>
      <c r="H5" s="19" t="n">
        <v>483436</v>
      </c>
      <c r="I5" s="19" t="n">
        <v>5.21</v>
      </c>
      <c r="J5" s="19" t="n">
        <v>16.01</v>
      </c>
      <c r="K5" s="19" t="n">
        <v>0.29</v>
      </c>
      <c r="L5" s="19" t="n">
        <v>13.59</v>
      </c>
      <c r="M5" s="19" t="n">
        <v>1.77</v>
      </c>
    </row>
    <row r="6" customFormat="false" ht="15" hidden="false" customHeight="false" outlineLevel="0" collapsed="false">
      <c r="A6" s="19" t="s">
        <v>62</v>
      </c>
      <c r="B6" s="19" t="s">
        <v>30</v>
      </c>
      <c r="C6" s="19" t="n">
        <v>0.84</v>
      </c>
      <c r="D6" s="19" t="n">
        <v>93.69</v>
      </c>
      <c r="E6" s="19" t="n">
        <v>87.45</v>
      </c>
      <c r="F6" s="19" t="n">
        <v>7.42</v>
      </c>
      <c r="G6" s="19" t="n">
        <v>19.22</v>
      </c>
      <c r="H6" s="19" t="n">
        <v>483436</v>
      </c>
      <c r="I6" s="19" t="n">
        <v>4.55</v>
      </c>
      <c r="J6" s="19" t="n">
        <v>15.17</v>
      </c>
      <c r="K6" s="19" t="n">
        <v>0.25</v>
      </c>
      <c r="L6" s="19" t="n">
        <v>14.72</v>
      </c>
      <c r="M6" s="19" t="n">
        <v>0</v>
      </c>
    </row>
    <row r="7" customFormat="false" ht="15" hidden="false" customHeight="false" outlineLevel="0" collapsed="false">
      <c r="A7" s="19" t="s">
        <v>63</v>
      </c>
      <c r="B7" s="19" t="s">
        <v>30</v>
      </c>
      <c r="C7" s="19" t="n">
        <v>2.33</v>
      </c>
      <c r="D7" s="19" t="n">
        <v>93.88</v>
      </c>
      <c r="E7" s="19" t="n">
        <v>87.49</v>
      </c>
      <c r="F7" s="19" t="n">
        <v>7.41</v>
      </c>
      <c r="G7" s="19" t="n">
        <v>19.21</v>
      </c>
      <c r="H7" s="19" t="n">
        <v>483436</v>
      </c>
      <c r="I7" s="19" t="n">
        <v>4.81</v>
      </c>
      <c r="J7" s="19" t="n">
        <v>15.18</v>
      </c>
      <c r="K7" s="19" t="n">
        <v>0.26</v>
      </c>
      <c r="L7" s="19" t="n">
        <v>14.72</v>
      </c>
      <c r="M7" s="19" t="n">
        <v>0</v>
      </c>
    </row>
    <row r="8" customFormat="false" ht="15" hidden="false" customHeight="false" outlineLevel="0" collapsed="false">
      <c r="A8" s="19" t="s">
        <v>64</v>
      </c>
      <c r="B8" s="19" t="s">
        <v>30</v>
      </c>
      <c r="C8" s="19" t="n">
        <v>1.65</v>
      </c>
      <c r="D8" s="19" t="n">
        <v>95.25</v>
      </c>
      <c r="E8" s="19" t="n">
        <v>87.95</v>
      </c>
      <c r="F8" s="19" t="n">
        <v>7.31</v>
      </c>
      <c r="G8" s="19" t="n">
        <v>19.1</v>
      </c>
      <c r="H8" s="19" t="n">
        <v>483436</v>
      </c>
      <c r="I8" s="19" t="n">
        <v>4.94</v>
      </c>
      <c r="J8" s="19" t="n">
        <v>15.19</v>
      </c>
      <c r="K8" s="19" t="n">
        <v>0.27</v>
      </c>
      <c r="L8" s="19" t="n">
        <v>14.72</v>
      </c>
      <c r="M8" s="19" t="n">
        <v>0</v>
      </c>
    </row>
    <row r="9" customFormat="false" ht="15" hidden="false" customHeight="false" outlineLevel="0" collapsed="false">
      <c r="A9" s="19" t="s">
        <v>65</v>
      </c>
      <c r="B9" s="19" t="s">
        <v>30</v>
      </c>
      <c r="C9" s="19" t="n">
        <v>1.65</v>
      </c>
      <c r="D9" s="19" t="n">
        <v>98.07</v>
      </c>
      <c r="E9" s="19" t="n">
        <v>88.4</v>
      </c>
      <c r="F9" s="19" t="n">
        <v>7.22</v>
      </c>
      <c r="G9" s="19" t="n">
        <v>18.98</v>
      </c>
      <c r="H9" s="19" t="n">
        <v>483436</v>
      </c>
      <c r="I9" s="19" t="n">
        <v>5.34</v>
      </c>
      <c r="J9" s="19" t="n">
        <v>15.21</v>
      </c>
      <c r="K9" s="19" t="n">
        <v>0.29</v>
      </c>
      <c r="L9" s="19" t="n">
        <v>14.72</v>
      </c>
      <c r="M9" s="19" t="n">
        <v>0</v>
      </c>
    </row>
    <row r="10" customFormat="false" ht="15" hidden="false" customHeight="false" outlineLevel="0" collapsed="false">
      <c r="A10" s="19" t="s">
        <v>66</v>
      </c>
      <c r="B10" s="19" t="s">
        <v>30</v>
      </c>
      <c r="C10" s="19" t="n">
        <v>1.65</v>
      </c>
      <c r="D10" s="19" t="n">
        <v>89.67</v>
      </c>
      <c r="E10" s="19" t="n">
        <v>87.4</v>
      </c>
      <c r="F10" s="19" t="n">
        <v>7.47</v>
      </c>
      <c r="G10" s="19" t="n">
        <v>19.23</v>
      </c>
      <c r="H10" s="19" t="n">
        <v>498436</v>
      </c>
      <c r="I10" s="19" t="n">
        <v>4.45</v>
      </c>
      <c r="J10" s="19" t="n">
        <v>15.13</v>
      </c>
      <c r="K10" s="19" t="n">
        <v>0.24</v>
      </c>
      <c r="L10" s="19" t="n">
        <v>14.69</v>
      </c>
      <c r="M10" s="19" t="n">
        <v>0</v>
      </c>
    </row>
    <row r="11" customFormat="false" ht="15" hidden="false" customHeight="false" outlineLevel="0" collapsed="false">
      <c r="A11" s="19" t="s">
        <v>67</v>
      </c>
      <c r="B11" s="19" t="s">
        <v>30</v>
      </c>
      <c r="C11" s="19" t="n">
        <v>1.65</v>
      </c>
      <c r="D11" s="19" t="n">
        <v>93.88</v>
      </c>
      <c r="E11" s="19" t="n">
        <v>87.48</v>
      </c>
      <c r="F11" s="19" t="n">
        <v>7.41</v>
      </c>
      <c r="G11" s="19" t="n">
        <v>19.22</v>
      </c>
      <c r="H11" s="19" t="n">
        <v>483436</v>
      </c>
      <c r="I11" s="19" t="n">
        <v>4.58</v>
      </c>
      <c r="J11" s="19" t="n">
        <v>15.17</v>
      </c>
      <c r="K11" s="19" t="n">
        <v>0.25</v>
      </c>
      <c r="L11" s="19" t="n">
        <v>14.72</v>
      </c>
      <c r="M11" s="19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2026-10-25T11:51:49Z</dcterms:created>
  <dc:creator>openpyxl</dc:creator>
  <dc:description/>
  <dc:language>en-US</dc:language>
  <cp:lastModifiedBy/>
  <dcterms:modified xsi:type="dcterms:W3CDTF">2026-10-25T11:56:32Z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